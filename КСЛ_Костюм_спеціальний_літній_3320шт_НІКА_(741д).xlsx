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9931e621419bc6/Desktop/Калькулція/"/>
    </mc:Choice>
  </mc:AlternateContent>
  <xr:revisionPtr revIDLastSave="6" documentId="8_{68D6DCAB-98F0-4837-9E68-CCB79DF2CC03}" xr6:coauthVersionLast="47" xr6:coauthVersionMax="47" xr10:uidLastSave="{EB371540-6539-4043-AD50-7B636AADB00F}"/>
  <bookViews>
    <workbookView xWindow="-110" yWindow="-110" windowWidth="19420" windowHeight="10420" xr2:uid="{00000000-000D-0000-FFFF-FFFF00000000}"/>
  </bookViews>
  <sheets>
    <sheet name="Лист1" sheetId="1" r:id="rId1"/>
    <sheet name="Лист2" sheetId="2" r:id="rId2"/>
    <sheet name="Лист3" sheetId="3" r:id="rId3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I24" i="1" l="1"/>
  <c r="I23" i="1"/>
  <c r="H5" i="1"/>
  <c r="H6" i="1"/>
  <c r="H7" i="1"/>
  <c r="H8" i="1"/>
  <c r="H9" i="1"/>
  <c r="I9" i="1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4" i="1"/>
  <c r="I11" i="1" l="1"/>
  <c r="I10" i="1"/>
  <c r="I8" i="1"/>
  <c r="I7" i="1"/>
</calcChain>
</file>

<file path=xl/sharedStrings.xml><?xml version="1.0" encoding="utf-8"?>
<sst xmlns="http://schemas.openxmlformats.org/spreadsheetml/2006/main" count="90" uniqueCount="52">
  <si>
    <t>КАЛЬКУЛЯЦІЯ ДО ВИРОБУ  Костюм спеціальний літній,
тип 6, клас 4, згідно державного контракту № 741/09-25-РМ від 22.09.2025 року</t>
  </si>
  <si>
    <t>Назва сировини</t>
  </si>
  <si>
    <t>Колір</t>
  </si>
  <si>
    <t>Одиниця вимірювання</t>
  </si>
  <si>
    <t>Норма витрати</t>
  </si>
  <si>
    <t>Коефіцієнт збільшення</t>
  </si>
  <si>
    <t>Всього на одну одиницю</t>
  </si>
  <si>
    <t>На партію</t>
  </si>
  <si>
    <t>Примітки</t>
  </si>
  <si>
    <t>Тканина змішана вибивна</t>
  </si>
  <si>
    <t>ММ-14</t>
  </si>
  <si>
    <t>мп</t>
  </si>
  <si>
    <t xml:space="preserve">ВН №1211 від 18.08.25                                          </t>
  </si>
  <si>
    <t>Бязь гладкофарбована</t>
  </si>
  <si>
    <t xml:space="preserve">ВН №3042-8210 від 28.08.25                                          </t>
  </si>
  <si>
    <t xml:space="preserve">Трикотажне сітчасте полотно         </t>
  </si>
  <si>
    <t>хакі</t>
  </si>
  <si>
    <t xml:space="preserve">ВН №9749 від 22.09.25                                          </t>
  </si>
  <si>
    <t>Застібка-блискавка  Т6 18 см.нероз'ємна</t>
  </si>
  <si>
    <t>шт</t>
  </si>
  <si>
    <t xml:space="preserve">ВН №5782 від 07.10.25                        ВН №6455 від 07.10.25                                   </t>
  </si>
  <si>
    <t>Застібка-блискавка Т6 30-35см.нероз'ємна</t>
  </si>
  <si>
    <t xml:space="preserve">Фіксатор пластмасовий на два отвори      </t>
  </si>
  <si>
    <t xml:space="preserve">ВН №80 від 03.10.25                               ВН №33 від 26.02.25                                   </t>
  </si>
  <si>
    <t>Ґудзик термостійкий 28мм  поліамід</t>
  </si>
  <si>
    <t xml:space="preserve">ВН №80 від 03.10.25                               ВН №141 від 18.09.25                                   </t>
  </si>
  <si>
    <t>Гачок пластмасовий</t>
  </si>
  <si>
    <t xml:space="preserve">ВН №80 від 03.10.25                               ВН №97 від 20.08.25                                   </t>
  </si>
  <si>
    <t>Стрічка еластична 4,0 посилена</t>
  </si>
  <si>
    <t xml:space="preserve">ВН №1101 від 06.08.25                                                       </t>
  </si>
  <si>
    <t>Стрічка еластична 3,0 посилена</t>
  </si>
  <si>
    <t>чорний</t>
  </si>
  <si>
    <t xml:space="preserve">ВН №2250 від 12.09.25                               ВН №1101 від 06.08.25                                   </t>
  </si>
  <si>
    <t>Стрічка еластична 1,5см.</t>
  </si>
  <si>
    <t xml:space="preserve">ВН №597 від 16.04.25                                         ВН №1101 від 06.08.25                                   </t>
  </si>
  <si>
    <t>Тасьма репсова 8мм.</t>
  </si>
  <si>
    <t xml:space="preserve">ВН №1101 від 06.08.25                        ВН №1145 від 12.08.25                       ВН №855 від 06.06.25                                     </t>
  </si>
  <si>
    <t>Шнур еластичний 3мм.</t>
  </si>
  <si>
    <t xml:space="preserve">ВН №835 від 07.10.25                                                       </t>
  </si>
  <si>
    <t>застібка текстильна 2,5 петля поліамід</t>
  </si>
  <si>
    <t xml:space="preserve">ВН №9571 від 16.09.25                                                       </t>
  </si>
  <si>
    <t>застібка текстильна 2,5 гачок поліамід</t>
  </si>
  <si>
    <t>застібка текстильна 4,0 петля поліамід</t>
  </si>
  <si>
    <t>застібка текстильна 4,0 гачок поліамід</t>
  </si>
  <si>
    <t xml:space="preserve">ВН №10049 від 29.09.25                                                       </t>
  </si>
  <si>
    <t>застібка текстильна 5,0 петля поліамід</t>
  </si>
  <si>
    <t>застібка текстильна 5,0 гачок поліамід</t>
  </si>
  <si>
    <t>Нитки швейні армовані</t>
  </si>
  <si>
    <t xml:space="preserve">ВН №5782 від 07.10.25                                                       </t>
  </si>
  <si>
    <t>Нитки швейні поліефірні</t>
  </si>
  <si>
    <t xml:space="preserve">Директор </t>
  </si>
  <si>
    <t>Б.В. Сидоренко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</si>
</sst>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₴_-;\-* #,##0.00\ _₴_-;_-* &quot;-&quot;??\ _₴_-;_-@_-"/>
  </numFmts>
  <fonts count="1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2"/>
      <name val="Times New Roman"/>
      <family val="1"/>
      <charset val="1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sz val="14"/>
      <color indexed="8"/>
      <name val="Calibri"/>
      <family val="2"/>
      <charset val="204"/>
    </font>
    <font>
      <sz val="14"/>
      <name val="Times New Roman"/>
      <family val="1"/>
      <charset val="1"/>
    </font>
    <font>
      <b/>
      <sz val="11"/>
      <name val="Arial"/>
      <family val="2"/>
      <charset val="204"/>
    </font>
    <font>
      <b/>
      <sz val="12"/>
      <color indexed="8"/>
      <name val="Calibri"/>
      <family val="2"/>
      <charset val="204"/>
    </font>
    <font>
      <sz val="14"/>
      <color theme="1"/>
      <name val="Times New Roman"/>
      <family val="1"/>
      <charset val="204"/>
    </font>
    <font>
      <sz val="12"/>
      <color rgb="FFFF0000"/>
      <name val="Times New Roman"/>
      <family val="1"/>
      <charset val="1"/>
    </font>
    <font>
      <b/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1"/>
      <scheme val="minor"/>
    </font>
    <font>
      <sz val="22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Border="0" applyProtection="0"/>
  </cellStyleXfs>
  <cellXfs count="29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12" fillId="0" borderId="1" xfId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3">
    <cellStyle name="Excel Built-in Normal" xfId="2" xr:uid="{00000000-0005-0000-0000-000000000000}"/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showGridLines="0" tabSelected="1" topLeftCell="B17" zoomScale="87" zoomScaleNormal="87" workbookViewId="0">
      <selection activeCell="C9" sqref="C9"/>
    </sheetView>
  </sheetViews>
  <sheetFormatPr defaultColWidth="9.140625" defaultRowHeight="14.45"/>
  <cols>
    <col min="1" max="2" width="4.85546875" style="11" customWidth="1"/>
    <col min="3" max="3" width="35.42578125" style="2" customWidth="1"/>
    <col min="4" max="4" width="15.140625" style="2" customWidth="1"/>
    <col min="5" max="5" width="9.85546875" style="2" customWidth="1"/>
    <col min="6" max="6" width="11.7109375" style="2" customWidth="1"/>
    <col min="7" max="8" width="12.140625" style="2" customWidth="1"/>
    <col min="9" max="9" width="18.7109375" style="2" customWidth="1"/>
    <col min="10" max="10" width="39.28515625" style="2" customWidth="1"/>
    <col min="11" max="16384" width="9.140625" style="2"/>
  </cols>
  <sheetData>
    <row r="1" spans="1:11" ht="78.95" customHeight="1">
      <c r="C1" s="20" t="s">
        <v>0</v>
      </c>
      <c r="D1" s="20"/>
      <c r="E1" s="20"/>
      <c r="F1" s="20"/>
      <c r="G1" s="20"/>
      <c r="H1" s="20"/>
      <c r="I1" s="20"/>
      <c r="J1" s="20"/>
      <c r="K1" s="14"/>
    </row>
    <row r="2" spans="1:11" ht="30" customHeight="1">
      <c r="A2" s="21"/>
      <c r="C2" s="23" t="s">
        <v>1</v>
      </c>
      <c r="D2" s="25" t="s">
        <v>2</v>
      </c>
      <c r="E2" s="26" t="s">
        <v>3</v>
      </c>
      <c r="F2" s="27" t="s">
        <v>4</v>
      </c>
      <c r="G2" s="26" t="s">
        <v>5</v>
      </c>
      <c r="H2" s="28" t="s">
        <v>6</v>
      </c>
      <c r="I2" s="1" t="s">
        <v>7</v>
      </c>
      <c r="J2" s="24" t="s">
        <v>8</v>
      </c>
    </row>
    <row r="3" spans="1:11" ht="34.5" customHeight="1">
      <c r="A3" s="22"/>
      <c r="C3" s="23"/>
      <c r="D3" s="25"/>
      <c r="E3" s="26"/>
      <c r="F3" s="27"/>
      <c r="G3" s="26"/>
      <c r="H3" s="28"/>
      <c r="I3" s="3">
        <v>3320</v>
      </c>
      <c r="J3" s="24"/>
    </row>
    <row r="4" spans="1:11" ht="54.75" customHeight="1">
      <c r="A4" s="17">
        <v>1</v>
      </c>
      <c r="B4" s="4">
        <v>1</v>
      </c>
      <c r="C4" s="16" t="s">
        <v>9</v>
      </c>
      <c r="D4" s="12" t="s">
        <v>10</v>
      </c>
      <c r="E4" s="6" t="s">
        <v>11</v>
      </c>
      <c r="F4" s="7">
        <v>5.3</v>
      </c>
      <c r="G4" s="8">
        <v>1.02</v>
      </c>
      <c r="H4" s="9">
        <f>F4*G4</f>
        <v>5.4059999999999997</v>
      </c>
      <c r="I4" s="10">
        <v>17961.2</v>
      </c>
      <c r="J4" s="15" t="s">
        <v>12</v>
      </c>
    </row>
    <row r="5" spans="1:11" ht="35.25" customHeight="1">
      <c r="A5" s="17">
        <v>2</v>
      </c>
      <c r="B5" s="4">
        <v>2</v>
      </c>
      <c r="C5" s="5" t="s">
        <v>13</v>
      </c>
      <c r="D5" s="12">
        <v>147</v>
      </c>
      <c r="E5" s="6" t="s">
        <v>11</v>
      </c>
      <c r="F5" s="7">
        <v>0.4</v>
      </c>
      <c r="G5" s="8">
        <v>1.02</v>
      </c>
      <c r="H5" s="9">
        <f t="shared" ref="H5:H24" si="0">F5*G5</f>
        <v>0.40800000000000003</v>
      </c>
      <c r="I5" s="10">
        <v>1361.2</v>
      </c>
      <c r="J5" s="15" t="s">
        <v>14</v>
      </c>
    </row>
    <row r="6" spans="1:11" ht="41.25" customHeight="1">
      <c r="A6" s="17">
        <v>3</v>
      </c>
      <c r="B6" s="4">
        <v>3</v>
      </c>
      <c r="C6" s="5" t="s">
        <v>15</v>
      </c>
      <c r="D6" s="12" t="s">
        <v>16</v>
      </c>
      <c r="E6" s="6" t="s">
        <v>11</v>
      </c>
      <c r="F6" s="7">
        <v>0.1</v>
      </c>
      <c r="G6" s="8">
        <v>1.02</v>
      </c>
      <c r="H6" s="9">
        <f t="shared" si="0"/>
        <v>0.10200000000000001</v>
      </c>
      <c r="I6" s="10">
        <v>332</v>
      </c>
      <c r="J6" s="15" t="s">
        <v>17</v>
      </c>
    </row>
    <row r="7" spans="1:11" ht="37.5" customHeight="1">
      <c r="A7" s="17">
        <v>4</v>
      </c>
      <c r="B7" s="4">
        <v>4</v>
      </c>
      <c r="C7" s="5" t="s">
        <v>18</v>
      </c>
      <c r="D7" s="12">
        <v>2446</v>
      </c>
      <c r="E7" s="6" t="s">
        <v>19</v>
      </c>
      <c r="F7" s="7">
        <v>7</v>
      </c>
      <c r="G7" s="8">
        <v>1</v>
      </c>
      <c r="H7" s="9">
        <f t="shared" si="0"/>
        <v>7</v>
      </c>
      <c r="I7" s="10">
        <f>H7*I3</f>
        <v>23240</v>
      </c>
      <c r="J7" s="15" t="s">
        <v>20</v>
      </c>
    </row>
    <row r="8" spans="1:11" ht="44.25" customHeight="1">
      <c r="A8" s="17">
        <v>5</v>
      </c>
      <c r="B8" s="4">
        <v>5</v>
      </c>
      <c r="C8" s="5" t="s">
        <v>21</v>
      </c>
      <c r="D8" s="12">
        <v>2446</v>
      </c>
      <c r="E8" s="6" t="s">
        <v>19</v>
      </c>
      <c r="F8" s="7">
        <v>2</v>
      </c>
      <c r="G8" s="8">
        <v>1</v>
      </c>
      <c r="H8" s="9">
        <f t="shared" si="0"/>
        <v>2</v>
      </c>
      <c r="I8" s="10">
        <f>H8*I3</f>
        <v>6640</v>
      </c>
      <c r="J8" s="15" t="s">
        <v>20</v>
      </c>
    </row>
    <row r="9" spans="1:11" ht="52.5" customHeight="1">
      <c r="A9" s="17">
        <v>6</v>
      </c>
      <c r="B9" s="4">
        <v>6</v>
      </c>
      <c r="C9" s="5" t="s">
        <v>22</v>
      </c>
      <c r="D9" s="12" t="s">
        <v>16</v>
      </c>
      <c r="E9" s="6" t="s">
        <v>19</v>
      </c>
      <c r="F9" s="7">
        <v>7</v>
      </c>
      <c r="G9" s="8">
        <v>1</v>
      </c>
      <c r="H9" s="9">
        <f t="shared" si="0"/>
        <v>7</v>
      </c>
      <c r="I9" s="10">
        <f>H9*I3</f>
        <v>23240</v>
      </c>
      <c r="J9" s="15" t="s">
        <v>23</v>
      </c>
    </row>
    <row r="10" spans="1:11" ht="37.5" customHeight="1">
      <c r="A10" s="17">
        <v>7</v>
      </c>
      <c r="B10" s="4">
        <v>7</v>
      </c>
      <c r="C10" s="5" t="s">
        <v>24</v>
      </c>
      <c r="D10" s="12" t="s">
        <v>16</v>
      </c>
      <c r="E10" s="6" t="s">
        <v>19</v>
      </c>
      <c r="F10" s="7">
        <v>19</v>
      </c>
      <c r="G10" s="8">
        <v>1</v>
      </c>
      <c r="H10" s="9">
        <f t="shared" si="0"/>
        <v>19</v>
      </c>
      <c r="I10" s="10">
        <f>H10*I3</f>
        <v>63080</v>
      </c>
      <c r="J10" s="15" t="s">
        <v>25</v>
      </c>
    </row>
    <row r="11" spans="1:11" ht="34.5" customHeight="1">
      <c r="A11" s="17">
        <v>8</v>
      </c>
      <c r="B11" s="4">
        <v>8</v>
      </c>
      <c r="C11" s="5" t="s">
        <v>26</v>
      </c>
      <c r="D11" s="12" t="s">
        <v>16</v>
      </c>
      <c r="E11" s="6" t="s">
        <v>11</v>
      </c>
      <c r="F11" s="7">
        <v>2</v>
      </c>
      <c r="G11" s="8">
        <v>1</v>
      </c>
      <c r="H11" s="9">
        <f t="shared" si="0"/>
        <v>2</v>
      </c>
      <c r="I11" s="10">
        <f>H11*I3</f>
        <v>6640</v>
      </c>
      <c r="J11" s="15" t="s">
        <v>27</v>
      </c>
    </row>
    <row r="12" spans="1:11" ht="39" customHeight="1">
      <c r="A12" s="17">
        <v>9</v>
      </c>
      <c r="B12" s="4">
        <v>9</v>
      </c>
      <c r="C12" s="5" t="s">
        <v>28</v>
      </c>
      <c r="D12" s="12" t="s">
        <v>16</v>
      </c>
      <c r="E12" s="6" t="s">
        <v>11</v>
      </c>
      <c r="F12" s="7">
        <v>1.75</v>
      </c>
      <c r="G12" s="8">
        <v>1.03</v>
      </c>
      <c r="H12" s="9">
        <f t="shared" si="0"/>
        <v>1.8025</v>
      </c>
      <c r="I12" s="10">
        <v>5976</v>
      </c>
      <c r="J12" s="15" t="s">
        <v>29</v>
      </c>
    </row>
    <row r="13" spans="1:11" ht="36" customHeight="1">
      <c r="A13" s="17">
        <v>10</v>
      </c>
      <c r="B13" s="4">
        <v>10</v>
      </c>
      <c r="C13" s="5" t="s">
        <v>30</v>
      </c>
      <c r="D13" s="12" t="s">
        <v>31</v>
      </c>
      <c r="E13" s="6" t="s">
        <v>11</v>
      </c>
      <c r="F13" s="7">
        <v>3.4</v>
      </c>
      <c r="G13" s="8">
        <v>1.02</v>
      </c>
      <c r="H13" s="9">
        <f t="shared" si="0"/>
        <v>3.468</v>
      </c>
      <c r="I13" s="10">
        <v>11520.4</v>
      </c>
      <c r="J13" s="15" t="s">
        <v>32</v>
      </c>
    </row>
    <row r="14" spans="1:11" ht="41.25" customHeight="1">
      <c r="A14" s="17">
        <v>11</v>
      </c>
      <c r="B14" s="4">
        <v>11</v>
      </c>
      <c r="C14" s="5" t="s">
        <v>33</v>
      </c>
      <c r="D14" s="12" t="s">
        <v>16</v>
      </c>
      <c r="E14" s="6" t="s">
        <v>11</v>
      </c>
      <c r="F14" s="7">
        <v>0.75</v>
      </c>
      <c r="G14" s="8">
        <v>1.02</v>
      </c>
      <c r="H14" s="9">
        <f t="shared" si="0"/>
        <v>0.76500000000000001</v>
      </c>
      <c r="I14" s="10">
        <v>2556.4</v>
      </c>
      <c r="J14" s="15" t="s">
        <v>34</v>
      </c>
    </row>
    <row r="15" spans="1:11" ht="56.45" customHeight="1">
      <c r="A15" s="17">
        <v>12</v>
      </c>
      <c r="B15" s="4">
        <v>12</v>
      </c>
      <c r="C15" s="5" t="s">
        <v>35</v>
      </c>
      <c r="D15" s="12" t="s">
        <v>16</v>
      </c>
      <c r="E15" s="6" t="s">
        <v>11</v>
      </c>
      <c r="F15" s="13">
        <v>4.4000000000000004</v>
      </c>
      <c r="G15" s="8">
        <v>1.02</v>
      </c>
      <c r="H15" s="9">
        <f t="shared" si="0"/>
        <v>4.4880000000000004</v>
      </c>
      <c r="I15" s="10">
        <v>14906.8</v>
      </c>
      <c r="J15" s="15" t="s">
        <v>36</v>
      </c>
    </row>
    <row r="16" spans="1:11" ht="38.25" customHeight="1">
      <c r="A16" s="17">
        <v>13</v>
      </c>
      <c r="B16" s="4">
        <v>13</v>
      </c>
      <c r="C16" s="5" t="s">
        <v>37</v>
      </c>
      <c r="D16" s="12" t="s">
        <v>16</v>
      </c>
      <c r="E16" s="6" t="s">
        <v>11</v>
      </c>
      <c r="F16" s="7">
        <v>3.3</v>
      </c>
      <c r="G16" s="8">
        <v>1.02</v>
      </c>
      <c r="H16" s="9">
        <f t="shared" si="0"/>
        <v>3.3659999999999997</v>
      </c>
      <c r="I16" s="10">
        <v>11188.4</v>
      </c>
      <c r="J16" s="15" t="s">
        <v>38</v>
      </c>
    </row>
    <row r="17" spans="1:10" ht="34.5" customHeight="1">
      <c r="A17" s="17">
        <v>14</v>
      </c>
      <c r="B17" s="4">
        <v>14</v>
      </c>
      <c r="C17" s="5" t="s">
        <v>39</v>
      </c>
      <c r="D17" s="12" t="s">
        <v>16</v>
      </c>
      <c r="E17" s="6" t="s">
        <v>11</v>
      </c>
      <c r="F17" s="7">
        <v>0.56000000000000005</v>
      </c>
      <c r="G17" s="8">
        <v>1.02</v>
      </c>
      <c r="H17" s="9">
        <f t="shared" si="0"/>
        <v>0.57120000000000004</v>
      </c>
      <c r="I17" s="10">
        <v>1892.4</v>
      </c>
      <c r="J17" s="15" t="s">
        <v>40</v>
      </c>
    </row>
    <row r="18" spans="1:10" ht="37.5" customHeight="1">
      <c r="A18" s="17">
        <v>15</v>
      </c>
      <c r="B18" s="4">
        <v>15</v>
      </c>
      <c r="C18" s="5" t="s">
        <v>41</v>
      </c>
      <c r="D18" s="12" t="s">
        <v>16</v>
      </c>
      <c r="E18" s="6" t="s">
        <v>11</v>
      </c>
      <c r="F18" s="7">
        <v>0.56000000000000005</v>
      </c>
      <c r="G18" s="8">
        <v>1.02</v>
      </c>
      <c r="H18" s="9">
        <f t="shared" si="0"/>
        <v>0.57120000000000004</v>
      </c>
      <c r="I18" s="10">
        <v>1892.4</v>
      </c>
      <c r="J18" s="15" t="s">
        <v>40</v>
      </c>
    </row>
    <row r="19" spans="1:10" ht="32.25" customHeight="1">
      <c r="A19" s="17">
        <v>16</v>
      </c>
      <c r="B19" s="4">
        <v>16</v>
      </c>
      <c r="C19" s="5" t="s">
        <v>42</v>
      </c>
      <c r="D19" s="12" t="s">
        <v>16</v>
      </c>
      <c r="E19" s="6" t="s">
        <v>11</v>
      </c>
      <c r="F19" s="7">
        <v>0.67</v>
      </c>
      <c r="G19" s="8">
        <v>1.02</v>
      </c>
      <c r="H19" s="9">
        <f t="shared" si="0"/>
        <v>0.68340000000000001</v>
      </c>
      <c r="I19" s="10">
        <v>2257.6</v>
      </c>
      <c r="J19" s="15" t="s">
        <v>40</v>
      </c>
    </row>
    <row r="20" spans="1:10" ht="41.25" customHeight="1">
      <c r="A20" s="17">
        <v>17</v>
      </c>
      <c r="B20" s="4">
        <v>17</v>
      </c>
      <c r="C20" s="5" t="s">
        <v>43</v>
      </c>
      <c r="D20" s="12" t="s">
        <v>16</v>
      </c>
      <c r="E20" s="6" t="s">
        <v>11</v>
      </c>
      <c r="F20" s="7">
        <v>0.59</v>
      </c>
      <c r="G20" s="8">
        <v>1.02</v>
      </c>
      <c r="H20" s="9">
        <f t="shared" si="0"/>
        <v>0.6018</v>
      </c>
      <c r="I20" s="10">
        <v>1992</v>
      </c>
      <c r="J20" s="15" t="s">
        <v>44</v>
      </c>
    </row>
    <row r="21" spans="1:10" ht="33.75" customHeight="1">
      <c r="A21" s="17">
        <v>18</v>
      </c>
      <c r="B21" s="4">
        <v>18</v>
      </c>
      <c r="C21" s="5" t="s">
        <v>45</v>
      </c>
      <c r="D21" s="12" t="s">
        <v>16</v>
      </c>
      <c r="E21" s="6" t="s">
        <v>11</v>
      </c>
      <c r="F21" s="7">
        <v>0.1</v>
      </c>
      <c r="G21" s="8">
        <v>1.02</v>
      </c>
      <c r="H21" s="9">
        <f t="shared" si="0"/>
        <v>0.10200000000000001</v>
      </c>
      <c r="I21" s="10">
        <v>332</v>
      </c>
      <c r="J21" s="15" t="s">
        <v>40</v>
      </c>
    </row>
    <row r="22" spans="1:10" ht="48" customHeight="1">
      <c r="A22" s="17">
        <v>19</v>
      </c>
      <c r="B22" s="4">
        <v>19</v>
      </c>
      <c r="C22" s="5" t="s">
        <v>46</v>
      </c>
      <c r="D22" s="12" t="s">
        <v>16</v>
      </c>
      <c r="E22" s="6" t="s">
        <v>11</v>
      </c>
      <c r="F22" s="7">
        <v>0.1</v>
      </c>
      <c r="G22" s="8">
        <v>1.02</v>
      </c>
      <c r="H22" s="9">
        <f t="shared" si="0"/>
        <v>0.10200000000000001</v>
      </c>
      <c r="I22" s="10">
        <v>332</v>
      </c>
      <c r="J22" s="15" t="s">
        <v>40</v>
      </c>
    </row>
    <row r="23" spans="1:10" ht="35.25" customHeight="1">
      <c r="A23" s="17">
        <v>20</v>
      </c>
      <c r="B23" s="4">
        <v>20</v>
      </c>
      <c r="C23" s="5" t="s">
        <v>47</v>
      </c>
      <c r="D23" s="12">
        <v>264</v>
      </c>
      <c r="E23" s="6" t="s">
        <v>11</v>
      </c>
      <c r="F23" s="7">
        <v>350</v>
      </c>
      <c r="G23" s="8">
        <v>1.02</v>
      </c>
      <c r="H23" s="9">
        <f t="shared" si="0"/>
        <v>357</v>
      </c>
      <c r="I23" s="10">
        <f>H23*I3</f>
        <v>1185240</v>
      </c>
      <c r="J23" s="15" t="s">
        <v>48</v>
      </c>
    </row>
    <row r="24" spans="1:10" ht="32.25" customHeight="1">
      <c r="A24" s="17">
        <v>21</v>
      </c>
      <c r="B24" s="4">
        <v>21</v>
      </c>
      <c r="C24" s="5" t="s">
        <v>49</v>
      </c>
      <c r="D24" s="12">
        <v>264</v>
      </c>
      <c r="E24" s="6" t="s">
        <v>11</v>
      </c>
      <c r="F24" s="7">
        <v>450</v>
      </c>
      <c r="G24" s="8">
        <v>1.02</v>
      </c>
      <c r="H24" s="9">
        <f t="shared" si="0"/>
        <v>459</v>
      </c>
      <c r="I24" s="10">
        <f>H24*I3</f>
        <v>1523880</v>
      </c>
      <c r="J24" s="15" t="s">
        <v>48</v>
      </c>
    </row>
    <row r="26" spans="1:10" ht="77.45" customHeight="1">
      <c r="C26" s="18" t="s">
        <v>50</v>
      </c>
      <c r="J26" s="19" t="s">
        <v>51</v>
      </c>
    </row>
    <row r="27" spans="1:10">
      <c r="C27" s="11"/>
    </row>
  </sheetData>
  <mergeCells count="9">
    <mergeCell ref="C1:J1"/>
    <mergeCell ref="A2:A3"/>
    <mergeCell ref="C2:C3"/>
    <mergeCell ref="J2:J3"/>
    <mergeCell ref="D2:D3"/>
    <mergeCell ref="E2:E3"/>
    <mergeCell ref="F2:F3"/>
    <mergeCell ref="G2:G3"/>
    <mergeCell ref="H2:H3"/>
  </mergeCells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</dc:creator>
  <cp:keywords/>
  <dc:description/>
  <cp:lastModifiedBy>Гість</cp:lastModifiedBy>
  <cp:revision/>
  <dcterms:created xsi:type="dcterms:W3CDTF">2022-01-13T15:48:12Z</dcterms:created>
  <dcterms:modified xsi:type="dcterms:W3CDTF">2026-01-14T08:02:18Z</dcterms:modified>
  <cp:category/>
  <cp:contentStatus/>
</cp:coreProperties>
</file>